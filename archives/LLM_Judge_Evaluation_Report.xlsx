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agarw\Downloads\"/>
    </mc:Choice>
  </mc:AlternateContent>
  <xr:revisionPtr revIDLastSave="0" documentId="13_ncr:1_{1D5B4B47-8622-469E-A49B-0557FE30C8A9}" xr6:coauthVersionLast="47" xr6:coauthVersionMax="47" xr10:uidLastSave="{00000000-0000-0000-0000-000000000000}"/>
  <bookViews>
    <workbookView xWindow="-108" yWindow="-108" windowWidth="23256" windowHeight="13176" tabRatio="500" activeTab="1" xr2:uid="{00000000-000D-0000-FFFF-FFFF00000000}"/>
  </bookViews>
  <sheets>
    <sheet name="Judge Results" sheetId="1" r:id="rId1"/>
    <sheet name="Summary" sheetId="2" r:id="rId2"/>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11" i="2" l="1"/>
  <c r="C10" i="2"/>
  <c r="C9" i="2"/>
  <c r="F6" i="2"/>
  <c r="D6" i="2"/>
  <c r="B6" i="2"/>
  <c r="H6" i="2" s="1"/>
  <c r="H51" i="1"/>
  <c r="H50" i="1"/>
  <c r="H49" i="1"/>
  <c r="H48" i="1"/>
  <c r="H47" i="1"/>
  <c r="H46" i="1"/>
  <c r="H45"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H3" i="1"/>
  <c r="H2" i="1"/>
  <c r="C12" i="2" l="1"/>
  <c r="C16" i="2" s="1"/>
  <c r="C15" i="2" l="1"/>
</calcChain>
</file>

<file path=xl/sharedStrings.xml><?xml version="1.0" encoding="utf-8"?>
<sst xmlns="http://schemas.openxmlformats.org/spreadsheetml/2006/main" count="326" uniqueCount="273">
  <si>
    <t>Question_ID</t>
  </si>
  <si>
    <t>Question</t>
  </si>
  <si>
    <t>Expected_Answer</t>
  </si>
  <si>
    <t>Generated_Answer</t>
  </si>
  <si>
    <t>Correctness (/10)</t>
  </si>
  <si>
    <t>Completeness (/10)</t>
  </si>
  <si>
    <t>Faithfulness (/10, 10=no hallucination)</t>
  </si>
  <si>
    <t>Row Overall (/10)</t>
  </si>
  <si>
    <t>Verdict</t>
  </si>
  <si>
    <t>Judge Notes</t>
  </si>
  <si>
    <t>Q_001</t>
  </si>
  <si>
    <t>What is the minimum CGPA required for a 3rd-year student to apply for the AlumBridge mentorship program?</t>
  </si>
  <si>
    <t>A minimum CGPA of 7.5.</t>
  </si>
  <si>
    <t>The minimum CGPA required for a third‑year student to apply for the AlumBridge mentorship program is **7.5**.</t>
  </si>
  <si>
    <t>Fully Correct</t>
  </si>
  <si>
    <t>Exact match on the CGPA figure (7.5).</t>
  </si>
  <si>
    <t>Q_002</t>
  </si>
  <si>
    <t>What is the penalty if a student is caught logging proxy biometric attendance for a friend?</t>
  </si>
  <si>
    <t>Both the student who provided the ID card and the student who scanned it lose all accumulated attendance in that specific subject for the entire semester.</t>
  </si>
  <si>
    <t>If a student is caught logging proxy biometric attendance for a friend, both the student who provided the ID card and the student who scanned it will immediately lose **all attendance accumulated in that specific subject for the entire semester**, resetting their attendance metric to **zero percent**.</t>
  </si>
  <si>
    <t>Matches expected; the added "resets to 0%" detail is confirmed verbatim in the retrieved source, not fabricated.</t>
  </si>
  <si>
    <t>Q_003</t>
  </si>
  <si>
    <t>If a Category-A student withdraws admission after Phase 2 of counseling but before the final phase, how much of their paid tuition fee is refunded?</t>
  </si>
  <si>
    <t>The student will receive exactly a 50% refund of the paid tuition fee.</t>
  </si>
  <si>
    <t>The student will receive **50 % of the paid tuition fee** as a refund. (The Development Fee and Student Services Levy are non‑refundable in this slab.)</t>
  </si>
  <si>
    <t>Matches (50% refund); the added Development Fee/Service Levy non-refundable note is confirmed in source.</t>
  </si>
  <si>
    <t>Q_004</t>
  </si>
  <si>
    <t>What color must the hardbound thesis cover be for a Civil Engineering major project?</t>
  </si>
  <si>
    <t>Dark Green fabric with Silver embossed lettering.</t>
  </si>
  <si>
    <t>The hardbound thesis cover for a Civil Engineering (CIV) major must be **Dark Green fabric with Silver embossed lettering**.</t>
  </si>
  <si>
    <t>Exact match (Dark Green fabric, Silver embossed lettering).</t>
  </si>
  <si>
    <t>Q_005</t>
  </si>
  <si>
    <t>Can a final-year student who has accepted a Tier 1 placement offer apply for incubation funding from the HIT-IC?</t>
  </si>
  <si>
    <t>No. Final-year students who have already accepted a corporate placement offer (Tier 1, 2, or 3) are legally barred from applying for incubation funding unless they officially forfeit their placement privileges.</t>
  </si>
  <si>
    <t>No. Final‑year students who have already accepted a Tier 1 (or Tier 2/3) placement offer are barred from applying for HIT‑IC incubation funding. They would first have to forfeit their placement privileges with a notarized affidavit before they could pitch to the HIT‑IC Board.</t>
  </si>
  <si>
    <t>Matches; correctly includes the notarized-affidavit forfeiture condition.</t>
  </si>
  <si>
    <t>Q_006</t>
  </si>
  <si>
    <t>A student has a 9.8 CGPA but failed a minor laboratory course. Are they eligible for the Chancellor's Merit Scholarship?</t>
  </si>
  <si>
    <t>No. A single active backlog instantly disqualifies the student from the entire merit scholarship framework for that year regardless of their high theoretical average.</t>
  </si>
  <si>
    <t>No. Even though the student’s CGPA (9.8) falls within the 9.75‑10.00 bracket, the scholarship rules require **zero active backlogs**. The policy also states that a student who fails a minor laboratory course (creating an F‑grade backlog) is **immediately disqualified from the merit‑scholarship framework for that year**, regardless of how high the CGPA is. Therefore, the student is not eligible for the Chancellor’s Merit Scholarship.</t>
  </si>
  <si>
    <t>Matches; the 9.75-10.00 CGPA bracket was cross-verified against the scholarship table retrieved elsewhere in the dataset (Q_046).</t>
  </si>
  <si>
    <t>Q_007</t>
  </si>
  <si>
    <t>How many physical books can a 4th-year B.Tech student borrow from the central library simultaneously?</t>
  </si>
  <si>
    <t>A maximum of six physical books.</t>
  </si>
  <si>
    <t>A 4th‑year B.Tech student may borrow **up to six physical books simultaneously** from the central library.</t>
  </si>
  <si>
    <t>Exact match (six books).</t>
  </si>
  <si>
    <t>Q_008</t>
  </si>
  <si>
    <t>If a student is placed on Academic Probation due to a CGPA below 5.5, what is the maximum number of credits they can register for in the next semester?</t>
  </si>
  <si>
    <t>They are legally barred from registering for more than eighteen credits in any standard semester.</t>
  </si>
  <si>
    <t>The student may register for **up to 18 credits** in the next semester.</t>
  </si>
  <si>
    <t>Exact match (18 credits).</t>
  </si>
  <si>
    <t>Q_009</t>
  </si>
  <si>
    <t>What is the consequence if an incubated startup founder utilizes seed funding to purchase a laptop, claiming it is for app testing?</t>
  </si>
  <si>
    <t>Purchasing personal electronics is strictly prohibited. The startup's bank account is immediately frozen, founders are given 72 hours to repay the embezzled amount out of pocket, and failure leads to immediate liquidation and eviction.</t>
  </si>
  <si>
    <t>Using seed funding to buy a laptop (or any personal electronic) is a **prohibited expenditure**. If an audit finds even ₹1,000 spent on such an item, the startup’s bank account is **frozen immediately**. The founders then have **72 hours** to repay the amount from their own pockets; failure to do so triggers **instant liquidation of the startup, expulsion from the HIT‑IC, and possible academic suspension**.</t>
  </si>
  <si>
    <t>Matches; "academic suspension" and 72-hour repay window both confirmed in source.</t>
  </si>
  <si>
    <t>Q_010</t>
  </si>
  <si>
    <t>What is the absolute maximum speed limit for vehicles driven within the HIT campus boundary?</t>
  </si>
  <si>
    <t>The absolute maximum speed limit is 20 kilometers per hour.</t>
  </si>
  <si>
    <t>The absolute maximum speed limit within the HIT campus boundary is **20 kilometers per hour**.</t>
  </si>
  <si>
    <t>Exact match (20 km/h).</t>
  </si>
  <si>
    <t>Q_011</t>
  </si>
  <si>
    <t>What is the fine for an unregistered two-wheeler wheel-clamp release?</t>
  </si>
  <si>
    <t>The fine is ₹1000.</t>
  </si>
  <si>
    <t>The release fine for an unregistered two‑wheeler that has been wheel‑clamped is **₹1,000**.</t>
  </si>
  <si>
    <t>Exact match (₹1,000).</t>
  </si>
  <si>
    <t>Q_012</t>
  </si>
  <si>
    <t>If a student submits a library book 16 days late what is the daily fine?</t>
  </si>
  <si>
    <t>The fine is ₹50 per book per day and the student's library account is instantly frozen.</t>
  </si>
  <si>
    <t>The daily fine for a book returned 16 days late is **₹50 per book, per day**.</t>
  </si>
  <si>
    <t>Partially Correct</t>
  </si>
  <si>
    <t>Fine amount (₹50/day) is correct, but omits that the "library account is instantly frozen" at day 16+ — this fact was present in the retrieved content but dropped from the answer.</t>
  </si>
  <si>
    <t>Q_013</t>
  </si>
  <si>
    <t>Can a student with a 100% state fee reimbursement apply for the Chancellor's Merit Scholarship?</t>
  </si>
  <si>
    <t>No. Students receiving 100% state fee reimbursement are entirely ineligible to apply for any internal HIT tuition scholarships.</t>
  </si>
  <si>
    <t>No. Because a 100 % state fee reimbursement is treated as an external scholarship, the student is ineligible to apply for any internal HIT tuition scholarships, including the Chancellor’s Merit Scholarship.</t>
  </si>
  <si>
    <t>Matches; correctly explains E-Pass is treated as an "external scholarship" (confirmed in source).</t>
  </si>
  <si>
    <t>Q_014</t>
  </si>
  <si>
    <t>If a student is detained for an attendance shortage what is the mandatory Registration Maintenance Fee they must pay for the year-back?</t>
  </si>
  <si>
    <t>They must pay a Registration Maintenance Fee of ₹25000 for the detained year.</t>
  </si>
  <si>
    <t>The mandatory Registration Maintenance Fee for a year‑back after being detained for an attendance shortage is **₹25,000**.</t>
  </si>
  <si>
    <t>Exact match (₹25,000).</t>
  </si>
  <si>
    <t>Q_015</t>
  </si>
  <si>
    <t>What is the minimum stipend required for a semester-long industry internship in the 8th semester?</t>
  </si>
  <si>
    <t>The host company must offer a minimum guaranteed stipend of ₹15000 per month.</t>
  </si>
  <si>
    <t>The host company must guarantee a minimum stipend of **₹15,000 per month** for a semester‑long industry internship in the 8th semester.</t>
  </si>
  <si>
    <t>Exact match (₹15,000/month).</t>
  </si>
  <si>
    <t>Q_016</t>
  </si>
  <si>
    <t>Can a student use a medical condonation to maintain the 85% attendance required for scholarship renewal?</t>
  </si>
  <si>
    <t>No. Medical condonations cannot be used to bypass the 85% attendance rule for scholarships.</t>
  </si>
  <si>
    <t>No. Medical condonation cannot be used to bypass the 85 % attendance rule required for scholarship renewal.</t>
  </si>
  <si>
    <t>Exact match.</t>
  </si>
  <si>
    <t>Q_017</t>
  </si>
  <si>
    <t xml:space="preserve"> If a varsity player is suspended for one week for wearing jeans in the gym will this affect their scholarship renewal?</t>
  </si>
  <si>
    <t>Yes. A single disciplinary strike instantly flags the student as a Disciplinary Risk resulting in the immediate rejection of their scholarship renewal.</t>
  </si>
  <si>
    <t>I don't know based on the provided documents.</t>
  </si>
  <si>
    <t>No Answer</t>
  </si>
  <si>
    <t>Model returned "I don't know." The retrieved chunk for this question covered varsity-team academic minimums, not the disciplinary-risk/scholarship rule needed — a retrieval miss, not a fabrication.</t>
  </si>
  <si>
    <t>Q_018</t>
  </si>
  <si>
    <t>How many total credits are required for a Lateral Entry student to graduate?</t>
  </si>
  <si>
    <t>A Lateral Entry student requires 122 Total Credits to graduate.</t>
  </si>
  <si>
    <t>A Lateral Entry student must earn **122 total credits** to graduate.</t>
  </si>
  <si>
    <t>Exact match (122 credits).</t>
  </si>
  <si>
    <t>Q_019</t>
  </si>
  <si>
    <t>If a student misses a mid-term examination due to a standard fever can they petition for a Make-Up Examination?</t>
  </si>
  <si>
    <t>No. Standard fever is summarily rejected for Make-Up Examination petitions.</t>
  </si>
  <si>
    <t>No. A standard fever is considered a minor ailment, and such cases are summarily rejected for a Make‑Up Examination petition.</t>
  </si>
  <si>
    <t>Q_020</t>
  </si>
  <si>
    <t>A third-year student has a 7.2 CGPA and zero backlogs. Can they apply for the AlumBridge mentorship program?</t>
  </si>
  <si>
    <t>No. The minimum CGPA required to apply for the AlumBridge mentorship program is 7.5.</t>
  </si>
  <si>
    <t>No. The AlumBridge program requires third‑year students to have a minimum CGPA of 7.5 and zero backlogs. With a CGPA of 7.2, the student does not meet the CGPA threshold and therefore is ineligible to apply.</t>
  </si>
  <si>
    <t>Correctly applies the 7.5 CGPA rule to a novel scenario (7.2 CGPA -&gt; ineligible).</t>
  </si>
  <si>
    <t>Q_021</t>
  </si>
  <si>
    <t>What is the late registration penalty per day for course enrollment?</t>
  </si>
  <si>
    <t>A strict monetary fine penalty of ₹500 per day.</t>
  </si>
  <si>
    <t>Model returned "I don't know." Retrieved chunk covered exam/re-evaluation fees, not late-registration fee — a retrieval miss, not a fabrication.</t>
  </si>
  <si>
    <t>Q_022</t>
  </si>
  <si>
    <t>What is the non-refundable administrative charge deducted if a student cancels admission before Phase 2 of state counseling?</t>
  </si>
  <si>
    <t>The university will deduct a non-refundable administrative processing charge of ₹5000.</t>
  </si>
  <si>
    <t>The non‑refundable administrative processing charge is **₹5,000**.</t>
  </si>
  <si>
    <t>Exact match (₹5,000).</t>
  </si>
  <si>
    <t>Q_023</t>
  </si>
  <si>
    <t>Can a student with a 7.2 CGPA and one active backlog apply for a semester-long industry internship in the 8th semester?</t>
  </si>
  <si>
    <t>No because they must have absolutely zero backlogs to be granted an NOC.</t>
  </si>
  <si>
    <t>No. Although the 7.2 CGPA satisfies the ≥ 7.0 CGPA floor, the internship eligibility also requires **absolute zero backlogs**—all subjects, labs and minor projects must be cleared through semester 7. A student with even one active backlog is required to stay on campus and cannot obtain the NOC for the semester‑long industry internship.</t>
  </si>
  <si>
    <t>Correctly combines the CGPA-floor and zero-backlog rules.</t>
  </si>
  <si>
    <t>Q_024</t>
  </si>
  <si>
    <t>Are students permitted to wear canvas sneakers when entering a mechanical laboratory?</t>
  </si>
  <si>
    <t>No and students wearing canvas sneakers will be denied entry to the lab due to chemical spill hazards.</t>
  </si>
  <si>
    <t>No. Canvas sneakers are prohibited in mechanical (as well as chemical and electrical) laboratories; students wearing them will be denied entry and marked absent for that session.</t>
  </si>
  <si>
    <t>Matches; "marked absent for that session" detail confirmed in source.</t>
  </si>
  <si>
    <t>Q_025</t>
  </si>
  <si>
    <t>What is the maximum number of credits a student can register for during the Fast-Track Summer Term?</t>
  </si>
  <si>
    <t>An absolute limit of 12 credits total.</t>
  </si>
  <si>
    <t>The maximum credit load for the Fast‑Track Summer Term is **12 credits** (or up to 3 subjects).</t>
  </si>
  <si>
    <t>Matches; "(or up to 3 subjects)" detail confirmed in source.</t>
  </si>
  <si>
    <t>Q_026</t>
  </si>
  <si>
    <t>If a student secures a Tier 2 Dream Offer can they later apply for a Tier 1 company?</t>
  </si>
  <si>
    <t>No because once a student holds a Tier 2 Dream Offer they can only upgrade to a Tier 3 Super Dream company.</t>
  </si>
  <si>
    <t>No. Once a student has accepted a Tier 2 (Dream) offer, the “One Student, One Job” rule and the upgrade policy state that they may only upgrade to a Tier 3 (Super Dream) company; they are no longer allowed to sit for any Tier 1 (Standard) drives.</t>
  </si>
  <si>
    <t>Core claim confirmed verbatim in source. The "One Student, One Job" label could not be independently verified in the retrieved excerpt (minor, low-risk).</t>
  </si>
  <si>
    <t>Q_027</t>
  </si>
  <si>
    <t>What is the penalty for tampering with the RFID security tags glued to a library book?</t>
  </si>
  <si>
    <t>The student will be fined ₹5000 and suspended from the library for the remainder of the semester.</t>
  </si>
  <si>
    <t>The penalty is a **₹5,000 fine** plus **suspension from the library for the remainder of the semester**.</t>
  </si>
  <si>
    <t>Exact match (₹5,000 fine + suspension for the semester).</t>
  </si>
  <si>
    <t>Q_028</t>
  </si>
  <si>
    <t>How many total extra credits must a student earn to receive a B.Tech with Honors degree?</t>
  </si>
  <si>
    <t>An additional 20 credits completely separate from the standard 160 credits required to graduate.</t>
  </si>
  <si>
    <t>A student must earn **20 extra credits** (in addition to the standard 160 credits) to receive a B.Tech with Honors degree.</t>
  </si>
  <si>
    <t>Exact match (20 extra credits).</t>
  </si>
  <si>
    <t>Q_029</t>
  </si>
  <si>
    <t>Will a student be granted a make-up test if they miss a Semester End Examination due to a severe medical emergency?</t>
  </si>
  <si>
    <t>No because there is absolutely no provision for a make-up test if a student misses a Semester End Examination.</t>
  </si>
  <si>
    <t>No. The policies state that there is absolutely no provision for a make‑up test if a student misses a Semester End Examination, even in the case of a severe medical emergency. The missed exam is recorded as an Absent grade.</t>
  </si>
  <si>
    <t>Matches; "recorded as an Absent grade" detail confirmed in source.</t>
  </si>
  <si>
    <t>Q_030</t>
  </si>
  <si>
    <t>If a third-year student has exactly five active F-grades what restricted enrollment status are they automatically placed under?</t>
  </si>
  <si>
    <t>They are automatically placed on Academic Probation.</t>
  </si>
  <si>
    <t>They are automatically placed on **academic probation**.</t>
  </si>
  <si>
    <t>Exact match (Academic Probation).</t>
  </si>
  <si>
    <t>Q_031</t>
  </si>
  <si>
    <t>What is the fee for printing a duplicate Original Degree if it is lost in international transit?</t>
  </si>
  <si>
    <t>The student must pay a ₹5000 reprint fee to receive a Duplicate Original Degree.</t>
  </si>
  <si>
    <t>The fee for printing a duplicate Original Degree when the degree is lost in transit is **₹5,000**.</t>
  </si>
  <si>
    <t>Q_032</t>
  </si>
  <si>
    <t>What minimum aggregate percentage is required for direct admission under the Category-B quota based purely on 10+2 merit?</t>
  </si>
  <si>
    <t>A minimum 65% aggregate is required for direct admission.</t>
  </si>
  <si>
    <t>The minimum aggregate required is **65 %** in the 10+2 (MPC) subjects.</t>
  </si>
  <si>
    <t>Exact match (65%); MPC qualifier is consistent context.</t>
  </si>
  <si>
    <t>Q_033</t>
  </si>
  <si>
    <t>Are startup founders in the HIT-IC allowed to use university seed funding to pay for trademark and patent filing legal fees?</t>
  </si>
  <si>
    <t>Yes founders may use the grant to pay legal fees for trademark and patent filings.</t>
  </si>
  <si>
    <t>Yes. The university’s permitted‑expenditure list explicitly includes “pay legal fees for trademark and patent filings” as an allowable use of the seed grant.</t>
  </si>
  <si>
    <t>Matches the permitted-expenditure list verbatim.</t>
  </si>
  <si>
    <t>Q_034</t>
  </si>
  <si>
    <t>If a student with 100% state fee reimbursement receives an F-grade in a practical laboratory subject what supplementary examination fee must they pay?</t>
  </si>
  <si>
    <t>They must pay a flat rate of ₹1500 per practical laboratory subject.</t>
  </si>
  <si>
    <t>The supplementary (backlog) examination fee for a practical laboratory subject is **₹1,500**. This applies regardless of the student’s state‑fee reimbursement status.</t>
  </si>
  <si>
    <t>Exact match (₹1,500).</t>
  </si>
  <si>
    <t>Q_035</t>
  </si>
  <si>
    <t>How many total academic credits will a student earn for successfully completing a semester-long industry internship in their 8th semester?</t>
  </si>
  <si>
    <t>The internship carries a massive weight of exactly sixteen academic credits.</t>
  </si>
  <si>
    <t>A successfully completed semester‑long industry internship in the 8th semester is worth **16 academic credits**.</t>
  </si>
  <si>
    <t>Exact match (16 credits).</t>
  </si>
  <si>
    <t>Q_036</t>
  </si>
  <si>
    <t>What is the maximum number of concurrent personal devices a student can register on the HIT-SECURE Wi-Fi network?</t>
  </si>
  <si>
    <t>Students are permitted to register a maximum of three concurrent personal devices.</t>
  </si>
  <si>
    <t>A student may register up to **three concurrent personal devices** on the HIT‑SECURE Wi‑Fi network.</t>
  </si>
  <si>
    <t>Exact match (3 devices).</t>
  </si>
  <si>
    <t>Q_037</t>
  </si>
  <si>
    <t>What is the spot fine levied if a banned electrical appliance like an electric iron is discovered during a hostel room inspection?</t>
  </si>
  <si>
    <t>A spot fine of ₹3000 is levied against the room's occupants.</t>
  </si>
  <si>
    <t>The spot fine is **₹3,000**.</t>
  </si>
  <si>
    <t>Exact match (₹3,000).</t>
  </si>
  <si>
    <t>Q_038</t>
  </si>
  <si>
    <t>Can a first-year male student who leaves his hostel at 9:30 PM on a standard Tuesday access the central library?</t>
  </si>
  <si>
    <t>No because the first-year boys in-time curfew is 9:00 PM and the standard library closing time is 10:00 PM.</t>
  </si>
  <si>
    <t>No. First‑year boys (Block A) must pass the hostel biometric gate by **9:00 PM** on all days. Leaving at 9:30 PM is a “Late Entry,” which triggers the curfew‑violation penalties. Even though the central library is open until 10:00 PM on a standard Tuesday, the student is not permitted to be out after his 9:00 PM curfew, so he cannot legally access the library at that time.</t>
  </si>
  <si>
    <t>Correct multi-hop reasoning across curfew time and library hours.</t>
  </si>
  <si>
    <t>Q_039</t>
  </si>
  <si>
    <t>Does a student need to secure faculty approval to use an Out-Pass for a local day leave?</t>
  </si>
  <si>
    <t>No the Out-Pass does not require parental permission or faculty approval.</t>
  </si>
  <si>
    <t>No. An Out‑Pass (local day leave) does **not** require faculty approval.</t>
  </si>
  <si>
    <t>Correctly answers the faculty-approval question asked, but drops the "no parental permission required" clause that Expected_Answer and the source both include.</t>
  </si>
  <si>
    <t>Q_040</t>
  </si>
  <si>
    <t>What is the minimum number of students required to officially form a new extracurricular club on campus?</t>
  </si>
  <si>
    <t>A new club requires a minimum founding cohort of 25 students from at least two different engineering branches.</t>
  </si>
  <si>
    <t>The minimum founding cohort required to officially form a new extracurricular club is **25 students** (who must come from at least two different engineering branches).</t>
  </si>
  <si>
    <t>Exact match (25 students, 2 branches).</t>
  </si>
  <si>
    <t>Q_041</t>
  </si>
  <si>
    <t>What is the minimum threshold of students required to file a class-action mass petition grievance?</t>
  </si>
  <si>
    <t>A minimum of twenty verified students from the affected cohort must digitally co-sign the primary complaint within 48 hours.</t>
  </si>
  <si>
    <t>The grievance must be co‑signed by **at least 20 verified students** to be classified as a class‑action mass petition.</t>
  </si>
  <si>
    <t>Correct on the 20-student threshold but omits the "within 48 hours" qualifier present in both source and Expected_Answer.</t>
  </si>
  <si>
    <t>Q_042</t>
  </si>
  <si>
    <t>What happens if the state government delays a student's E-Pass fee reimbursement beyond March 31st?</t>
  </si>
  <si>
    <t>The temporary exemption is revoked and the student must pay the entire ₹145000 out of their personal funds within fourteen days of receiving the demand notice.</t>
  </si>
  <si>
    <t>If the State Government does not disburse the E‑Pass reimbursement by 31 March of the academic year, the university revokes the temporary tuition‑fee exemption. It immediately sends a demand notice to the student, who must then pay the full ₹1,45,000 tuition out of pocket within 14 days of the notice in order to receive the final‑examination Hall Ticket.</t>
  </si>
  <si>
    <t>Thorough match; "Hall Ticket" consequence confirmed in source.</t>
  </si>
  <si>
    <t>Q_043</t>
  </si>
  <si>
    <t>What is the required format and font size for the final printed B.Tech thesis?</t>
  </si>
  <si>
    <t>The thesis must be printed on A4-sized executive bond paper in Times New Roman font size 12 with 1.5 line spacing.</t>
  </si>
  <si>
    <t>The final B.Tech thesis must be printed on **A4‑sized executive bond paper**.  
The text must be set in **Times New Roman, size 12**, with **1.5 line spacing**.</t>
  </si>
  <si>
    <t>Exact match on paper, font, size, and spacing.</t>
  </si>
  <si>
    <t>Q_044</t>
  </si>
  <si>
    <t>Can a student on Academic Probation hold the position of President in a student club?</t>
  </si>
  <si>
    <t>No because probationary students are subjected to a total ban on extracurricular and leadership activities.</t>
  </si>
  <si>
    <t>No. Students placed on Academic Probation are banned from all extracurricular and leadership activities, and any elected or appointed titles—including the President role in a student club—are stripped while they remain on probation.</t>
  </si>
  <si>
    <t>Q_045</t>
  </si>
  <si>
    <t>What happens to a student's institutional email account after they graduate?</t>
  </si>
  <si>
    <t>Six months after graduating the IT department initiates a permanent purge of their institutional email account and associated Google Drive storage.</t>
  </si>
  <si>
    <t>Six months after a student graduates and receives their degree, the IT department permanently deletes (purges) the student’s @student.hit.edu.in email account and its associated Google Drive storage. Students must move any resumes, project files, contacts, etc., to a personal Gmail account before that deadline.  
**Exception:** Founders who are part of the “Alumni Entrepreneur Extension” at the HIT Incubation Center receive a one‑year extension on their email privileges before the purge.</t>
  </si>
  <si>
    <t>Matches; the "Alumni Entrepreneur Extension" exception is confirmed verbatim in source, not invented.</t>
  </si>
  <si>
    <t>Q_046</t>
  </si>
  <si>
    <t>If a student has an 84.9% aggregate attendance can they successfully renew their Chancellor's Merit Scholarship?</t>
  </si>
  <si>
    <t>No because a scholarship student must maintain a minimum aggregate attendance of 85%.</t>
  </si>
  <si>
    <t>No. The Premium Attendance Rule requires at least 85 % aggregate attendance; an attendance of 84.9 % causes the scholarship renewal to be denied.</t>
  </si>
  <si>
    <t>Core claim correct (84.9% &lt; 85% -&gt; denied). "Premium Attendance Rule" label not independently confirmed in the retrieved excerpt (minor, low-risk).</t>
  </si>
  <si>
    <t>Q_047</t>
  </si>
  <si>
    <t>What happens if a student misses their designated hostel mess serving window for lunch?</t>
  </si>
  <si>
    <t>The kitchen staff will not provide food and the student must arrange for their own meal at the paid campus canteen.</t>
  </si>
  <si>
    <t>If a student misses the lunch serving window (12:30 PM – 2:15 PM), the kitchen staff will not give them any food. The student must obtain a meal on their own from the paid campus canteen.</t>
  </si>
  <si>
    <t>Matches; serving-window times (12:30-2:15 PM) confirmed in source.</t>
  </si>
  <si>
    <t>Q_048</t>
  </si>
  <si>
    <t>If an alumnus flying from London is invited for a guest lecture how much of their airfare will the university reimburse?</t>
  </si>
  <si>
    <t>Zero because international travel expenses are strictly non-reimbursable.</t>
  </si>
  <si>
    <t>The university does not reimburse any portion of international travel; therefore, an alumnus flying from London will receive **no airfare reimbursement**.</t>
  </si>
  <si>
    <t>Exact match (zero reimbursement).</t>
  </si>
  <si>
    <t>Q_049</t>
  </si>
  <si>
    <t>If a student caught plagiarizing 30% of their thesis is awarded a Year-Back what is the mandatory fee they must pay for that detained year?</t>
  </si>
  <si>
    <t>They must pay a mandatory Registration Maintenance Fee of ₹25000 for the detained year.</t>
  </si>
  <si>
    <t>The mandatory fee for the detained (Year‑Back) year is a **Registration Maintenance Fee of ₹25,000**.</t>
  </si>
  <si>
    <t>Q_050</t>
  </si>
  <si>
    <t>What is the penalty if a student is caught bringing unauthorized firecrackers onto the campus during festivals?</t>
  </si>
  <si>
    <t>Explosives are strictly banned and the student will be immediately detained handed over to local police and permanently expelled from the university.</t>
  </si>
  <si>
    <t>Bringing unauthorized firecrackers (classified as explosive materials) is prohibited as a weapon.If a student is caught with them, the university treats it as a zero‑tolerance weapons offense: the student is detained, handed over to the Cyberabad Police, permanently expelled, denied a degree and has the admission fee fully forfeited.</t>
  </si>
  <si>
    <t>Matches; extra "denied degree / fee forfeited" detail confirmed verbatim in source.</t>
  </si>
  <si>
    <t>LLM-as-Judge Evaluation Summary</t>
  </si>
  <si>
    <t>evaluation_answer.csv  |  50 question-answer pairs  |  Judged on Correctness, Completeness, Hallucination/Faithfulness</t>
  </si>
  <si>
    <t>Avg Correctness (/10)</t>
  </si>
  <si>
    <t>Avg Completeness (/10)</t>
  </si>
  <si>
    <t>Avg Faithfulness (/10)</t>
  </si>
  <si>
    <t>OVERALL SCORE (/10)</t>
  </si>
  <si>
    <t>Verdict Breakdown</t>
  </si>
  <si>
    <t>Partially Correct (answer right, some detail missing)</t>
  </si>
  <si>
    <t>No Answer (model declined / retrieval gap)</t>
  </si>
  <si>
    <t>Total Questions</t>
  </si>
  <si>
    <t>Accuracy</t>
  </si>
  <si>
    <t>Strict Accuracy  (Fully Correct / Total)</t>
  </si>
  <si>
    <t>Lenient Accuracy  (Fully Correct + 0.5 x Partial) / Total</t>
  </si>
  <si>
    <t>Methodology</t>
  </si>
  <si>
    <t>Each row was read manually against Expected_Answer and cross-checked against its Retrived_Contents (and, where a detail was absent from a row's own retrieved chunk, against matching chunks retrieved for other questions drawing on the same source document).
- Correctness: does the core factual claim match the expected answer (0 if no answer given, or if it contradicts).
- Completeness: does the answer include every material fact the expected answer / source contains.
- Faithfulness (Hallucination, inverted): 10 = every stated claim, including ones added beyond the reference answer, is grounded in the retrieved source; deductions only for claims that could not be verified anywhere in the provided context.
- Row Overall = simple average of the three scores. Dataset Overall = average of the three column averages.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</si>
</sst>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9" x14ac:knownFonts="1">
    <font>
      <sz val="11"/>
      <color theme="1"/>
      <name val="Calibri"/>
      <family val="2"/>
      <charset val="1"/>
    </font>
    <font>
      <b/>
      <sz val="10"/>
      <color rgb="FFFFFFFF"/>
      <name val="Arial"/>
      <charset val="1"/>
    </font>
    <font>
      <sz val="10"/>
      <name val="Arial"/>
      <charset val="1"/>
    </font>
    <font>
      <b/>
      <sz val="14"/>
      <color rgb="FF1F2937"/>
      <name val="Arial"/>
      <charset val="1"/>
    </font>
    <font>
      <i/>
      <sz val="9"/>
      <color rgb="FF6B7280"/>
      <name val="Arial"/>
      <charset val="1"/>
    </font>
    <font>
      <b/>
      <sz val="10"/>
      <name val="Arial"/>
      <charset val="1"/>
    </font>
    <font>
      <b/>
      <sz val="18"/>
      <color rgb="FF1F2937"/>
      <name val="Arial"/>
      <charset val="1"/>
    </font>
    <font>
      <b/>
      <sz val="11"/>
      <name val="Arial"/>
      <charset val="1"/>
    </font>
    <font>
      <sz val="9"/>
      <color rgb="FF374151"/>
      <name val="Arial"/>
      <charset val="1"/>
    </font>
  </fonts>
  <fills count="7">
    <fill>
      <patternFill patternType="none"/>
    </fill>
    <fill>
      <patternFill patternType="gray125"/>
    </fill>
    <fill>
      <patternFill patternType="solid">
        <fgColor rgb="FF1F2937"/>
        <bgColor rgb="FF333300"/>
      </patternFill>
    </fill>
    <fill>
      <patternFill patternType="solid">
        <fgColor rgb="FFDCFCE7"/>
        <bgColor rgb="FFCCFFCC"/>
      </patternFill>
    </fill>
    <fill>
      <patternFill patternType="solid">
        <fgColor rgb="FFFEF3C7"/>
        <bgColor rgb="FFFEE2E2"/>
      </patternFill>
    </fill>
    <fill>
      <patternFill patternType="solid">
        <fgColor rgb="FFFEE2E2"/>
        <bgColor rgb="FFFEF3C7"/>
      </patternFill>
    </fill>
    <fill>
      <patternFill patternType="solid">
        <fgColor rgb="FFF3F4F6"/>
        <bgColor rgb="FFFFFFFF"/>
      </patternFill>
    </fill>
  </fills>
  <borders count="2">
    <border>
      <left/>
      <right/>
      <top/>
      <bottom/>
      <diagonal/>
    </border>
    <border>
      <left style="thin">
        <color rgb="FFD1D5DB"/>
      </left>
      <right style="thin">
        <color rgb="FFD1D5DB"/>
      </right>
      <top style="thin">
        <color rgb="FFD1D5DB"/>
      </top>
      <bottom style="thin">
        <color rgb="FFD1D5DB"/>
      </bottom>
      <diagonal/>
    </border>
  </borders>
  <cellStyleXfs count="1">
    <xf numFmtId="0" fontId="0" fillId="0" borderId="0"/>
  </cellStyleXfs>
  <cellXfs count="17">
    <xf numFmtId="0" fontId="0" fillId="0" borderId="0" xfId="0"/>
    <xf numFmtId="0" fontId="8" fillId="0" borderId="0" xfId="0" applyFont="1" applyAlignment="1">
      <alignment vertical="top" wrapText="1"/>
    </xf>
    <xf numFmtId="0" fontId="1" fillId="2" borderId="0" xfId="0" applyFont="1" applyFill="1" applyAlignment="1">
      <alignment horizontal="center" vertical="center" wrapText="1"/>
    </xf>
    <xf numFmtId="0" fontId="2" fillId="0" borderId="1" xfId="0" applyFont="1" applyBorder="1" applyAlignment="1">
      <alignment vertical="top" wrapText="1"/>
    </xf>
    <xf numFmtId="0" fontId="2" fillId="0" borderId="1" xfId="0" applyFont="1" applyBorder="1" applyAlignment="1">
      <alignment horizontal="center" vertical="top"/>
    </xf>
    <xf numFmtId="164" fontId="2" fillId="0" borderId="1" xfId="0" applyNumberFormat="1" applyFont="1" applyBorder="1" applyAlignment="1">
      <alignment horizontal="center" vertical="top"/>
    </xf>
    <xf numFmtId="0" fontId="2" fillId="3" borderId="1" xfId="0" applyFont="1" applyFill="1" applyBorder="1" applyAlignment="1">
      <alignment horizontal="center" vertical="top" wrapText="1"/>
    </xf>
    <xf numFmtId="0" fontId="2" fillId="4" borderId="1" xfId="0" applyFont="1" applyFill="1" applyBorder="1" applyAlignment="1">
      <alignment horizontal="center" vertical="top" wrapText="1"/>
    </xf>
    <xf numFmtId="0" fontId="2" fillId="5" borderId="1" xfId="0" applyFont="1" applyFill="1" applyBorder="1" applyAlignment="1">
      <alignment horizontal="center" vertical="top" wrapText="1"/>
    </xf>
    <xf numFmtId="0" fontId="3" fillId="0" borderId="0" xfId="0" applyFont="1"/>
    <xf numFmtId="0" fontId="4" fillId="0" borderId="0" xfId="0" applyFont="1"/>
    <xf numFmtId="0" fontId="5" fillId="0" borderId="0" xfId="0" applyFont="1"/>
    <xf numFmtId="2" fontId="6" fillId="6" borderId="1" xfId="0" applyNumberFormat="1" applyFont="1" applyFill="1" applyBorder="1"/>
    <xf numFmtId="0" fontId="2" fillId="0" borderId="0" xfId="0" applyFont="1"/>
    <xf numFmtId="0" fontId="2" fillId="0" borderId="0" xfId="0" applyFont="1" applyAlignment="1">
      <alignment horizontal="center"/>
    </xf>
    <xf numFmtId="0" fontId="5" fillId="0" borderId="0" xfId="0" applyFont="1" applyAlignment="1">
      <alignment horizontal="center"/>
    </xf>
    <xf numFmtId="165" fontId="7" fillId="0" borderId="0" xfId="0" applyNumberFormat="1" applyFont="1" applyAlignment="1">
      <alignment horizont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DCFCE7"/>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CCFFCC"/>
      <rgbColor rgb="FFFFFF99"/>
      <rgbColor rgb="FF99CCFF"/>
      <rgbColor rgb="FFFF99CC"/>
      <rgbColor rgb="FFCC99FF"/>
      <rgbColor rgb="FFFEE2E2"/>
      <rgbColor rgb="FF3366FF"/>
      <rgbColor rgb="FF33CCCC"/>
      <rgbColor rgb="FF99CC00"/>
      <rgbColor rgb="FFFFCC00"/>
      <rgbColor rgb="FFFF9900"/>
      <rgbColor rgb="FFFF6600"/>
      <rgbColor rgb="FF6B7280"/>
      <rgbColor rgb="FF969696"/>
      <rgbColor rgb="FF003366"/>
      <rgbColor rgb="FF339966"/>
      <rgbColor rgb="FF003300"/>
      <rgbColor rgb="FF333300"/>
      <rgbColor rgb="FF993300"/>
      <rgbColor rgb="FF993366"/>
      <rgbColor rgb="FF374151"/>
      <rgbColor rgb="FF1F2937"/>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1"/>
  <sheetViews>
    <sheetView zoomScaleNormal="100" workbookViewId="0">
      <pane ySplit="1" topLeftCell="A2" activePane="bottomLeft" state="frozen"/>
      <selection pane="bottomLeft"/>
    </sheetView>
  </sheetViews>
  <sheetFormatPr defaultColWidth="8.6640625" defaultRowHeight="14.4" x14ac:dyDescent="0.3"/>
  <cols>
    <col min="1" max="1" width="11" customWidth="1"/>
    <col min="2" max="2" width="34" customWidth="1"/>
    <col min="3" max="3" width="30" customWidth="1"/>
    <col min="4" max="4" width="38" customWidth="1"/>
    <col min="5" max="6" width="11" customWidth="1"/>
    <col min="7" max="7" width="13" customWidth="1"/>
    <col min="8" max="8" width="11" customWidth="1"/>
    <col min="9" max="9" width="14" customWidth="1"/>
    <col min="10" max="10" width="40" customWidth="1"/>
  </cols>
  <sheetData>
    <row r="1" spans="1:10" ht="31.5" customHeight="1" x14ac:dyDescent="0.3">
      <c r="A1" s="2" t="s">
        <v>0</v>
      </c>
      <c r="B1" s="2" t="s">
        <v>1</v>
      </c>
      <c r="C1" s="2" t="s">
        <v>2</v>
      </c>
      <c r="D1" s="2" t="s">
        <v>3</v>
      </c>
      <c r="E1" s="2" t="s">
        <v>4</v>
      </c>
      <c r="F1" s="2" t="s">
        <v>5</v>
      </c>
      <c r="G1" s="2" t="s">
        <v>6</v>
      </c>
      <c r="H1" s="2" t="s">
        <v>7</v>
      </c>
      <c r="I1" s="2" t="s">
        <v>8</v>
      </c>
      <c r="J1" s="2" t="s">
        <v>9</v>
      </c>
    </row>
    <row r="2" spans="1:10" ht="39.6" x14ac:dyDescent="0.3">
      <c r="A2" s="3" t="s">
        <v>10</v>
      </c>
      <c r="B2" s="3" t="s">
        <v>11</v>
      </c>
      <c r="C2" s="3" t="s">
        <v>12</v>
      </c>
      <c r="D2" s="3" t="s">
        <v>13</v>
      </c>
      <c r="E2" s="4">
        <v>10</v>
      </c>
      <c r="F2" s="4">
        <v>10</v>
      </c>
      <c r="G2" s="4">
        <v>10</v>
      </c>
      <c r="H2" s="5">
        <f t="shared" ref="H2:H33" si="0">AVERAGE(E2:G2)</f>
        <v>10</v>
      </c>
      <c r="I2" s="6" t="s">
        <v>14</v>
      </c>
      <c r="J2" s="3" t="s">
        <v>15</v>
      </c>
    </row>
    <row r="3" spans="1:10" ht="92.4" x14ac:dyDescent="0.3">
      <c r="A3" s="3" t="s">
        <v>16</v>
      </c>
      <c r="B3" s="3" t="s">
        <v>17</v>
      </c>
      <c r="C3" s="3" t="s">
        <v>18</v>
      </c>
      <c r="D3" s="3" t="s">
        <v>19</v>
      </c>
      <c r="E3" s="4">
        <v>10</v>
      </c>
      <c r="F3" s="4">
        <v>10</v>
      </c>
      <c r="G3" s="4">
        <v>10</v>
      </c>
      <c r="H3" s="5">
        <f t="shared" si="0"/>
        <v>10</v>
      </c>
      <c r="I3" s="6" t="s">
        <v>14</v>
      </c>
      <c r="J3" s="3" t="s">
        <v>20</v>
      </c>
    </row>
    <row r="4" spans="1:10" ht="52.8" x14ac:dyDescent="0.3">
      <c r="A4" s="3" t="s">
        <v>21</v>
      </c>
      <c r="B4" s="3" t="s">
        <v>22</v>
      </c>
      <c r="C4" s="3" t="s">
        <v>23</v>
      </c>
      <c r="D4" s="3" t="s">
        <v>24</v>
      </c>
      <c r="E4" s="4">
        <v>10</v>
      </c>
      <c r="F4" s="4">
        <v>10</v>
      </c>
      <c r="G4" s="4">
        <v>10</v>
      </c>
      <c r="H4" s="5">
        <f t="shared" si="0"/>
        <v>10</v>
      </c>
      <c r="I4" s="6" t="s">
        <v>14</v>
      </c>
      <c r="J4" s="3" t="s">
        <v>25</v>
      </c>
    </row>
    <row r="5" spans="1:10" ht="52.8" x14ac:dyDescent="0.3">
      <c r="A5" s="3" t="s">
        <v>26</v>
      </c>
      <c r="B5" s="3" t="s">
        <v>27</v>
      </c>
      <c r="C5" s="3" t="s">
        <v>28</v>
      </c>
      <c r="D5" s="3" t="s">
        <v>29</v>
      </c>
      <c r="E5" s="4">
        <v>10</v>
      </c>
      <c r="F5" s="4">
        <v>10</v>
      </c>
      <c r="G5" s="4">
        <v>10</v>
      </c>
      <c r="H5" s="5">
        <f t="shared" si="0"/>
        <v>10</v>
      </c>
      <c r="I5" s="6" t="s">
        <v>14</v>
      </c>
      <c r="J5" s="3" t="s">
        <v>30</v>
      </c>
    </row>
    <row r="6" spans="1:10" ht="92.4" x14ac:dyDescent="0.3">
      <c r="A6" s="3" t="s">
        <v>31</v>
      </c>
      <c r="B6" s="3" t="s">
        <v>32</v>
      </c>
      <c r="C6" s="3" t="s">
        <v>33</v>
      </c>
      <c r="D6" s="3" t="s">
        <v>34</v>
      </c>
      <c r="E6" s="4">
        <v>10</v>
      </c>
      <c r="F6" s="4">
        <v>10</v>
      </c>
      <c r="G6" s="4">
        <v>10</v>
      </c>
      <c r="H6" s="5">
        <f t="shared" si="0"/>
        <v>10</v>
      </c>
      <c r="I6" s="6" t="s">
        <v>14</v>
      </c>
      <c r="J6" s="3" t="s">
        <v>35</v>
      </c>
    </row>
    <row r="7" spans="1:10" ht="145.19999999999999" x14ac:dyDescent="0.3">
      <c r="A7" s="3" t="s">
        <v>36</v>
      </c>
      <c r="B7" s="3" t="s">
        <v>37</v>
      </c>
      <c r="C7" s="3" t="s">
        <v>38</v>
      </c>
      <c r="D7" s="3" t="s">
        <v>39</v>
      </c>
      <c r="E7" s="4">
        <v>10</v>
      </c>
      <c r="F7" s="4">
        <v>10</v>
      </c>
      <c r="G7" s="4">
        <v>10</v>
      </c>
      <c r="H7" s="5">
        <f t="shared" si="0"/>
        <v>10</v>
      </c>
      <c r="I7" s="6" t="s">
        <v>14</v>
      </c>
      <c r="J7" s="3" t="s">
        <v>40</v>
      </c>
    </row>
    <row r="8" spans="1:10" ht="39.6" x14ac:dyDescent="0.3">
      <c r="A8" s="3" t="s">
        <v>41</v>
      </c>
      <c r="B8" s="3" t="s">
        <v>42</v>
      </c>
      <c r="C8" s="3" t="s">
        <v>43</v>
      </c>
      <c r="D8" s="3" t="s">
        <v>44</v>
      </c>
      <c r="E8" s="4">
        <v>10</v>
      </c>
      <c r="F8" s="4">
        <v>10</v>
      </c>
      <c r="G8" s="4">
        <v>10</v>
      </c>
      <c r="H8" s="5">
        <f t="shared" si="0"/>
        <v>10</v>
      </c>
      <c r="I8" s="6" t="s">
        <v>14</v>
      </c>
      <c r="J8" s="3" t="s">
        <v>45</v>
      </c>
    </row>
    <row r="9" spans="1:10" ht="66" x14ac:dyDescent="0.3">
      <c r="A9" s="3" t="s">
        <v>46</v>
      </c>
      <c r="B9" s="3" t="s">
        <v>47</v>
      </c>
      <c r="C9" s="3" t="s">
        <v>48</v>
      </c>
      <c r="D9" s="3" t="s">
        <v>49</v>
      </c>
      <c r="E9" s="4">
        <v>10</v>
      </c>
      <c r="F9" s="4">
        <v>10</v>
      </c>
      <c r="G9" s="4">
        <v>10</v>
      </c>
      <c r="H9" s="5">
        <f t="shared" si="0"/>
        <v>10</v>
      </c>
      <c r="I9" s="6" t="s">
        <v>14</v>
      </c>
      <c r="J9" s="3" t="s">
        <v>50</v>
      </c>
    </row>
    <row r="10" spans="1:10" ht="132" x14ac:dyDescent="0.3">
      <c r="A10" s="3" t="s">
        <v>51</v>
      </c>
      <c r="B10" s="3" t="s">
        <v>52</v>
      </c>
      <c r="C10" s="3" t="s">
        <v>53</v>
      </c>
      <c r="D10" s="3" t="s">
        <v>54</v>
      </c>
      <c r="E10" s="4">
        <v>10</v>
      </c>
      <c r="F10" s="4">
        <v>10</v>
      </c>
      <c r="G10" s="4">
        <v>10</v>
      </c>
      <c r="H10" s="5">
        <f t="shared" si="0"/>
        <v>10</v>
      </c>
      <c r="I10" s="6" t="s">
        <v>14</v>
      </c>
      <c r="J10" s="3" t="s">
        <v>55</v>
      </c>
    </row>
    <row r="11" spans="1:10" ht="39.6" x14ac:dyDescent="0.3">
      <c r="A11" s="3" t="s">
        <v>56</v>
      </c>
      <c r="B11" s="3" t="s">
        <v>57</v>
      </c>
      <c r="C11" s="3" t="s">
        <v>58</v>
      </c>
      <c r="D11" s="3" t="s">
        <v>59</v>
      </c>
      <c r="E11" s="4">
        <v>10</v>
      </c>
      <c r="F11" s="4">
        <v>10</v>
      </c>
      <c r="G11" s="4">
        <v>10</v>
      </c>
      <c r="H11" s="5">
        <f t="shared" si="0"/>
        <v>10</v>
      </c>
      <c r="I11" s="6" t="s">
        <v>14</v>
      </c>
      <c r="J11" s="3" t="s">
        <v>60</v>
      </c>
    </row>
    <row r="12" spans="1:10" ht="39.6" x14ac:dyDescent="0.3">
      <c r="A12" s="3" t="s">
        <v>61</v>
      </c>
      <c r="B12" s="3" t="s">
        <v>62</v>
      </c>
      <c r="C12" s="3" t="s">
        <v>63</v>
      </c>
      <c r="D12" s="3" t="s">
        <v>64</v>
      </c>
      <c r="E12" s="4">
        <v>10</v>
      </c>
      <c r="F12" s="4">
        <v>10</v>
      </c>
      <c r="G12" s="4">
        <v>10</v>
      </c>
      <c r="H12" s="5">
        <f t="shared" si="0"/>
        <v>10</v>
      </c>
      <c r="I12" s="6" t="s">
        <v>14</v>
      </c>
      <c r="J12" s="3" t="s">
        <v>65</v>
      </c>
    </row>
    <row r="13" spans="1:10" ht="52.8" x14ac:dyDescent="0.3">
      <c r="A13" s="3" t="s">
        <v>66</v>
      </c>
      <c r="B13" s="3" t="s">
        <v>67</v>
      </c>
      <c r="C13" s="3" t="s">
        <v>68</v>
      </c>
      <c r="D13" s="3" t="s">
        <v>69</v>
      </c>
      <c r="E13" s="4">
        <v>10</v>
      </c>
      <c r="F13" s="4">
        <v>6</v>
      </c>
      <c r="G13" s="4">
        <v>10</v>
      </c>
      <c r="H13" s="5">
        <f t="shared" si="0"/>
        <v>8.6666666666666661</v>
      </c>
      <c r="I13" s="7" t="s">
        <v>70</v>
      </c>
      <c r="J13" s="3" t="s">
        <v>71</v>
      </c>
    </row>
    <row r="14" spans="1:10" ht="66" x14ac:dyDescent="0.3">
      <c r="A14" s="3" t="s">
        <v>72</v>
      </c>
      <c r="B14" s="3" t="s">
        <v>73</v>
      </c>
      <c r="C14" s="3" t="s">
        <v>74</v>
      </c>
      <c r="D14" s="3" t="s">
        <v>75</v>
      </c>
      <c r="E14" s="4">
        <v>10</v>
      </c>
      <c r="F14" s="4">
        <v>10</v>
      </c>
      <c r="G14" s="4">
        <v>10</v>
      </c>
      <c r="H14" s="5">
        <f t="shared" si="0"/>
        <v>10</v>
      </c>
      <c r="I14" s="6" t="s">
        <v>14</v>
      </c>
      <c r="J14" s="3" t="s">
        <v>76</v>
      </c>
    </row>
    <row r="15" spans="1:10" ht="52.8" x14ac:dyDescent="0.3">
      <c r="A15" s="3" t="s">
        <v>77</v>
      </c>
      <c r="B15" s="3" t="s">
        <v>78</v>
      </c>
      <c r="C15" s="3" t="s">
        <v>79</v>
      </c>
      <c r="D15" s="3" t="s">
        <v>80</v>
      </c>
      <c r="E15" s="4">
        <v>10</v>
      </c>
      <c r="F15" s="4">
        <v>10</v>
      </c>
      <c r="G15" s="4">
        <v>10</v>
      </c>
      <c r="H15" s="5">
        <f t="shared" si="0"/>
        <v>10</v>
      </c>
      <c r="I15" s="6" t="s">
        <v>14</v>
      </c>
      <c r="J15" s="3" t="s">
        <v>81</v>
      </c>
    </row>
    <row r="16" spans="1:10" ht="52.8" x14ac:dyDescent="0.3">
      <c r="A16" s="3" t="s">
        <v>82</v>
      </c>
      <c r="B16" s="3" t="s">
        <v>83</v>
      </c>
      <c r="C16" s="3" t="s">
        <v>84</v>
      </c>
      <c r="D16" s="3" t="s">
        <v>85</v>
      </c>
      <c r="E16" s="4">
        <v>10</v>
      </c>
      <c r="F16" s="4">
        <v>10</v>
      </c>
      <c r="G16" s="4">
        <v>10</v>
      </c>
      <c r="H16" s="5">
        <f t="shared" si="0"/>
        <v>10</v>
      </c>
      <c r="I16" s="6" t="s">
        <v>14</v>
      </c>
      <c r="J16" s="3" t="s">
        <v>86</v>
      </c>
    </row>
    <row r="17" spans="1:10" ht="52.8" x14ac:dyDescent="0.3">
      <c r="A17" s="3" t="s">
        <v>87</v>
      </c>
      <c r="B17" s="3" t="s">
        <v>88</v>
      </c>
      <c r="C17" s="3" t="s">
        <v>89</v>
      </c>
      <c r="D17" s="3" t="s">
        <v>90</v>
      </c>
      <c r="E17" s="4">
        <v>10</v>
      </c>
      <c r="F17" s="4">
        <v>10</v>
      </c>
      <c r="G17" s="4">
        <v>10</v>
      </c>
      <c r="H17" s="5">
        <f t="shared" si="0"/>
        <v>10</v>
      </c>
      <c r="I17" s="6" t="s">
        <v>14</v>
      </c>
      <c r="J17" s="3" t="s">
        <v>91</v>
      </c>
    </row>
    <row r="18" spans="1:10" ht="66" x14ac:dyDescent="0.3">
      <c r="A18" s="3" t="s">
        <v>92</v>
      </c>
      <c r="B18" s="3" t="s">
        <v>93</v>
      </c>
      <c r="C18" s="3" t="s">
        <v>94</v>
      </c>
      <c r="D18" s="3" t="s">
        <v>95</v>
      </c>
      <c r="E18" s="4">
        <v>0</v>
      </c>
      <c r="F18" s="4">
        <v>0</v>
      </c>
      <c r="G18" s="4">
        <v>10</v>
      </c>
      <c r="H18" s="5">
        <f t="shared" si="0"/>
        <v>3.3333333333333335</v>
      </c>
      <c r="I18" s="8" t="s">
        <v>96</v>
      </c>
      <c r="J18" s="3" t="s">
        <v>97</v>
      </c>
    </row>
    <row r="19" spans="1:10" ht="26.4" x14ac:dyDescent="0.3">
      <c r="A19" s="3" t="s">
        <v>98</v>
      </c>
      <c r="B19" s="3" t="s">
        <v>99</v>
      </c>
      <c r="C19" s="3" t="s">
        <v>100</v>
      </c>
      <c r="D19" s="3" t="s">
        <v>101</v>
      </c>
      <c r="E19" s="4">
        <v>10</v>
      </c>
      <c r="F19" s="4">
        <v>10</v>
      </c>
      <c r="G19" s="4">
        <v>10</v>
      </c>
      <c r="H19" s="5">
        <f t="shared" si="0"/>
        <v>10</v>
      </c>
      <c r="I19" s="6" t="s">
        <v>14</v>
      </c>
      <c r="J19" s="3" t="s">
        <v>102</v>
      </c>
    </row>
    <row r="20" spans="1:10" ht="52.8" x14ac:dyDescent="0.3">
      <c r="A20" s="3" t="s">
        <v>103</v>
      </c>
      <c r="B20" s="3" t="s">
        <v>104</v>
      </c>
      <c r="C20" s="3" t="s">
        <v>105</v>
      </c>
      <c r="D20" s="3" t="s">
        <v>106</v>
      </c>
      <c r="E20" s="4">
        <v>10</v>
      </c>
      <c r="F20" s="4">
        <v>10</v>
      </c>
      <c r="G20" s="4">
        <v>10</v>
      </c>
      <c r="H20" s="5">
        <f t="shared" si="0"/>
        <v>10</v>
      </c>
      <c r="I20" s="6" t="s">
        <v>14</v>
      </c>
      <c r="J20" s="3" t="s">
        <v>91</v>
      </c>
    </row>
    <row r="21" spans="1:10" ht="79.2" x14ac:dyDescent="0.3">
      <c r="A21" s="3" t="s">
        <v>107</v>
      </c>
      <c r="B21" s="3" t="s">
        <v>108</v>
      </c>
      <c r="C21" s="3" t="s">
        <v>109</v>
      </c>
      <c r="D21" s="3" t="s">
        <v>110</v>
      </c>
      <c r="E21" s="4">
        <v>10</v>
      </c>
      <c r="F21" s="4">
        <v>10</v>
      </c>
      <c r="G21" s="4">
        <v>10</v>
      </c>
      <c r="H21" s="5">
        <f t="shared" si="0"/>
        <v>10</v>
      </c>
      <c r="I21" s="6" t="s">
        <v>14</v>
      </c>
      <c r="J21" s="3" t="s">
        <v>111</v>
      </c>
    </row>
    <row r="22" spans="1:10" ht="52.8" x14ac:dyDescent="0.3">
      <c r="A22" s="3" t="s">
        <v>112</v>
      </c>
      <c r="B22" s="3" t="s">
        <v>113</v>
      </c>
      <c r="C22" s="3" t="s">
        <v>114</v>
      </c>
      <c r="D22" s="3" t="s">
        <v>95</v>
      </c>
      <c r="E22" s="4">
        <v>0</v>
      </c>
      <c r="F22" s="4">
        <v>0</v>
      </c>
      <c r="G22" s="4">
        <v>10</v>
      </c>
      <c r="H22" s="5">
        <f t="shared" si="0"/>
        <v>3.3333333333333335</v>
      </c>
      <c r="I22" s="8" t="s">
        <v>96</v>
      </c>
      <c r="J22" s="3" t="s">
        <v>115</v>
      </c>
    </row>
    <row r="23" spans="1:10" ht="52.8" x14ac:dyDescent="0.3">
      <c r="A23" s="3" t="s">
        <v>116</v>
      </c>
      <c r="B23" s="3" t="s">
        <v>117</v>
      </c>
      <c r="C23" s="3" t="s">
        <v>118</v>
      </c>
      <c r="D23" s="3" t="s">
        <v>119</v>
      </c>
      <c r="E23" s="4">
        <v>10</v>
      </c>
      <c r="F23" s="4">
        <v>10</v>
      </c>
      <c r="G23" s="4">
        <v>10</v>
      </c>
      <c r="H23" s="5">
        <f t="shared" si="0"/>
        <v>10</v>
      </c>
      <c r="I23" s="6" t="s">
        <v>14</v>
      </c>
      <c r="J23" s="3" t="s">
        <v>120</v>
      </c>
    </row>
    <row r="24" spans="1:10" ht="105.6" x14ac:dyDescent="0.3">
      <c r="A24" s="3" t="s">
        <v>121</v>
      </c>
      <c r="B24" s="3" t="s">
        <v>122</v>
      </c>
      <c r="C24" s="3" t="s">
        <v>123</v>
      </c>
      <c r="D24" s="3" t="s">
        <v>124</v>
      </c>
      <c r="E24" s="4">
        <v>10</v>
      </c>
      <c r="F24" s="4">
        <v>10</v>
      </c>
      <c r="G24" s="4">
        <v>10</v>
      </c>
      <c r="H24" s="5">
        <f t="shared" si="0"/>
        <v>10</v>
      </c>
      <c r="I24" s="6" t="s">
        <v>14</v>
      </c>
      <c r="J24" s="3" t="s">
        <v>125</v>
      </c>
    </row>
    <row r="25" spans="1:10" ht="66" x14ac:dyDescent="0.3">
      <c r="A25" s="3" t="s">
        <v>126</v>
      </c>
      <c r="B25" s="3" t="s">
        <v>127</v>
      </c>
      <c r="C25" s="3" t="s">
        <v>128</v>
      </c>
      <c r="D25" s="3" t="s">
        <v>129</v>
      </c>
      <c r="E25" s="4">
        <v>10</v>
      </c>
      <c r="F25" s="4">
        <v>10</v>
      </c>
      <c r="G25" s="4">
        <v>10</v>
      </c>
      <c r="H25" s="5">
        <f t="shared" si="0"/>
        <v>10</v>
      </c>
      <c r="I25" s="6" t="s">
        <v>14</v>
      </c>
      <c r="J25" s="3" t="s">
        <v>130</v>
      </c>
    </row>
    <row r="26" spans="1:10" ht="39.6" x14ac:dyDescent="0.3">
      <c r="A26" s="3" t="s">
        <v>131</v>
      </c>
      <c r="B26" s="3" t="s">
        <v>132</v>
      </c>
      <c r="C26" s="3" t="s">
        <v>133</v>
      </c>
      <c r="D26" s="3" t="s">
        <v>134</v>
      </c>
      <c r="E26" s="4">
        <v>10</v>
      </c>
      <c r="F26" s="4">
        <v>10</v>
      </c>
      <c r="G26" s="4">
        <v>10</v>
      </c>
      <c r="H26" s="5">
        <f t="shared" si="0"/>
        <v>10</v>
      </c>
      <c r="I26" s="6" t="s">
        <v>14</v>
      </c>
      <c r="J26" s="3" t="s">
        <v>135</v>
      </c>
    </row>
    <row r="27" spans="1:10" ht="79.2" x14ac:dyDescent="0.3">
      <c r="A27" s="3" t="s">
        <v>136</v>
      </c>
      <c r="B27" s="3" t="s">
        <v>137</v>
      </c>
      <c r="C27" s="3" t="s">
        <v>138</v>
      </c>
      <c r="D27" s="3" t="s">
        <v>139</v>
      </c>
      <c r="E27" s="4">
        <v>10</v>
      </c>
      <c r="F27" s="4">
        <v>10</v>
      </c>
      <c r="G27" s="4">
        <v>8</v>
      </c>
      <c r="H27" s="5">
        <f t="shared" si="0"/>
        <v>9.3333333333333339</v>
      </c>
      <c r="I27" s="6" t="s">
        <v>14</v>
      </c>
      <c r="J27" s="3" t="s">
        <v>140</v>
      </c>
    </row>
    <row r="28" spans="1:10" ht="39.6" x14ac:dyDescent="0.3">
      <c r="A28" s="3" t="s">
        <v>141</v>
      </c>
      <c r="B28" s="3" t="s">
        <v>142</v>
      </c>
      <c r="C28" s="3" t="s">
        <v>143</v>
      </c>
      <c r="D28" s="3" t="s">
        <v>144</v>
      </c>
      <c r="E28" s="4">
        <v>10</v>
      </c>
      <c r="F28" s="4">
        <v>10</v>
      </c>
      <c r="G28" s="4">
        <v>10</v>
      </c>
      <c r="H28" s="5">
        <f t="shared" si="0"/>
        <v>10</v>
      </c>
      <c r="I28" s="6" t="s">
        <v>14</v>
      </c>
      <c r="J28" s="3" t="s">
        <v>145</v>
      </c>
    </row>
    <row r="29" spans="1:10" ht="39.6" x14ac:dyDescent="0.3">
      <c r="A29" s="3" t="s">
        <v>146</v>
      </c>
      <c r="B29" s="3" t="s">
        <v>147</v>
      </c>
      <c r="C29" s="3" t="s">
        <v>148</v>
      </c>
      <c r="D29" s="3" t="s">
        <v>149</v>
      </c>
      <c r="E29" s="4">
        <v>10</v>
      </c>
      <c r="F29" s="4">
        <v>10</v>
      </c>
      <c r="G29" s="4">
        <v>10</v>
      </c>
      <c r="H29" s="5">
        <f t="shared" si="0"/>
        <v>10</v>
      </c>
      <c r="I29" s="6" t="s">
        <v>14</v>
      </c>
      <c r="J29" s="3" t="s">
        <v>150</v>
      </c>
    </row>
    <row r="30" spans="1:10" ht="79.2" x14ac:dyDescent="0.3">
      <c r="A30" s="3" t="s">
        <v>151</v>
      </c>
      <c r="B30" s="3" t="s">
        <v>152</v>
      </c>
      <c r="C30" s="3" t="s">
        <v>153</v>
      </c>
      <c r="D30" s="3" t="s">
        <v>154</v>
      </c>
      <c r="E30" s="4">
        <v>10</v>
      </c>
      <c r="F30" s="4">
        <v>10</v>
      </c>
      <c r="G30" s="4">
        <v>10</v>
      </c>
      <c r="H30" s="5">
        <f t="shared" si="0"/>
        <v>10</v>
      </c>
      <c r="I30" s="6" t="s">
        <v>14</v>
      </c>
      <c r="J30" s="3" t="s">
        <v>155</v>
      </c>
    </row>
    <row r="31" spans="1:10" ht="52.8" x14ac:dyDescent="0.3">
      <c r="A31" s="3" t="s">
        <v>156</v>
      </c>
      <c r="B31" s="3" t="s">
        <v>157</v>
      </c>
      <c r="C31" s="3" t="s">
        <v>158</v>
      </c>
      <c r="D31" s="3" t="s">
        <v>159</v>
      </c>
      <c r="E31" s="4">
        <v>10</v>
      </c>
      <c r="F31" s="4">
        <v>10</v>
      </c>
      <c r="G31" s="4">
        <v>10</v>
      </c>
      <c r="H31" s="5">
        <f t="shared" si="0"/>
        <v>10</v>
      </c>
      <c r="I31" s="6" t="s">
        <v>14</v>
      </c>
      <c r="J31" s="3" t="s">
        <v>160</v>
      </c>
    </row>
    <row r="32" spans="1:10" ht="39.6" x14ac:dyDescent="0.3">
      <c r="A32" s="3" t="s">
        <v>161</v>
      </c>
      <c r="B32" s="3" t="s">
        <v>162</v>
      </c>
      <c r="C32" s="3" t="s">
        <v>163</v>
      </c>
      <c r="D32" s="3" t="s">
        <v>164</v>
      </c>
      <c r="E32" s="4">
        <v>10</v>
      </c>
      <c r="F32" s="4">
        <v>10</v>
      </c>
      <c r="G32" s="4">
        <v>10</v>
      </c>
      <c r="H32" s="5">
        <f t="shared" si="0"/>
        <v>10</v>
      </c>
      <c r="I32" s="6" t="s">
        <v>14</v>
      </c>
      <c r="J32" s="3" t="s">
        <v>120</v>
      </c>
    </row>
    <row r="33" spans="1:10" ht="52.8" x14ac:dyDescent="0.3">
      <c r="A33" s="3" t="s">
        <v>165</v>
      </c>
      <c r="B33" s="3" t="s">
        <v>166</v>
      </c>
      <c r="C33" s="3" t="s">
        <v>167</v>
      </c>
      <c r="D33" s="3" t="s">
        <v>168</v>
      </c>
      <c r="E33" s="4">
        <v>10</v>
      </c>
      <c r="F33" s="4">
        <v>10</v>
      </c>
      <c r="G33" s="4">
        <v>10</v>
      </c>
      <c r="H33" s="5">
        <f t="shared" si="0"/>
        <v>10</v>
      </c>
      <c r="I33" s="6" t="s">
        <v>14</v>
      </c>
      <c r="J33" s="3" t="s">
        <v>169</v>
      </c>
    </row>
    <row r="34" spans="1:10" ht="52.8" x14ac:dyDescent="0.3">
      <c r="A34" s="3" t="s">
        <v>170</v>
      </c>
      <c r="B34" s="3" t="s">
        <v>171</v>
      </c>
      <c r="C34" s="3" t="s">
        <v>172</v>
      </c>
      <c r="D34" s="3" t="s">
        <v>173</v>
      </c>
      <c r="E34" s="4">
        <v>10</v>
      </c>
      <c r="F34" s="4">
        <v>10</v>
      </c>
      <c r="G34" s="4">
        <v>10</v>
      </c>
      <c r="H34" s="5">
        <f t="shared" ref="H34:H65" si="1">AVERAGE(E34:G34)</f>
        <v>10</v>
      </c>
      <c r="I34" s="6" t="s">
        <v>14</v>
      </c>
      <c r="J34" s="3" t="s">
        <v>174</v>
      </c>
    </row>
    <row r="35" spans="1:10" ht="66" x14ac:dyDescent="0.3">
      <c r="A35" s="3" t="s">
        <v>175</v>
      </c>
      <c r="B35" s="3" t="s">
        <v>176</v>
      </c>
      <c r="C35" s="3" t="s">
        <v>177</v>
      </c>
      <c r="D35" s="3" t="s">
        <v>178</v>
      </c>
      <c r="E35" s="4">
        <v>10</v>
      </c>
      <c r="F35" s="4">
        <v>10</v>
      </c>
      <c r="G35" s="4">
        <v>10</v>
      </c>
      <c r="H35" s="5">
        <f t="shared" si="1"/>
        <v>10</v>
      </c>
      <c r="I35" s="6" t="s">
        <v>14</v>
      </c>
      <c r="J35" s="3" t="s">
        <v>179</v>
      </c>
    </row>
    <row r="36" spans="1:10" ht="52.8" x14ac:dyDescent="0.3">
      <c r="A36" s="3" t="s">
        <v>180</v>
      </c>
      <c r="B36" s="3" t="s">
        <v>181</v>
      </c>
      <c r="C36" s="3" t="s">
        <v>182</v>
      </c>
      <c r="D36" s="3" t="s">
        <v>183</v>
      </c>
      <c r="E36" s="4">
        <v>10</v>
      </c>
      <c r="F36" s="4">
        <v>10</v>
      </c>
      <c r="G36" s="4">
        <v>10</v>
      </c>
      <c r="H36" s="5">
        <f t="shared" si="1"/>
        <v>10</v>
      </c>
      <c r="I36" s="6" t="s">
        <v>14</v>
      </c>
      <c r="J36" s="3" t="s">
        <v>184</v>
      </c>
    </row>
    <row r="37" spans="1:10" ht="52.8" x14ac:dyDescent="0.3">
      <c r="A37" s="3" t="s">
        <v>185</v>
      </c>
      <c r="B37" s="3" t="s">
        <v>186</v>
      </c>
      <c r="C37" s="3" t="s">
        <v>187</v>
      </c>
      <c r="D37" s="3" t="s">
        <v>188</v>
      </c>
      <c r="E37" s="4">
        <v>10</v>
      </c>
      <c r="F37" s="4">
        <v>10</v>
      </c>
      <c r="G37" s="4">
        <v>10</v>
      </c>
      <c r="H37" s="5">
        <f t="shared" si="1"/>
        <v>10</v>
      </c>
      <c r="I37" s="6" t="s">
        <v>14</v>
      </c>
      <c r="J37" s="3" t="s">
        <v>189</v>
      </c>
    </row>
    <row r="38" spans="1:10" ht="52.8" x14ac:dyDescent="0.3">
      <c r="A38" s="3" t="s">
        <v>190</v>
      </c>
      <c r="B38" s="3" t="s">
        <v>191</v>
      </c>
      <c r="C38" s="3" t="s">
        <v>192</v>
      </c>
      <c r="D38" s="3" t="s">
        <v>193</v>
      </c>
      <c r="E38" s="4">
        <v>10</v>
      </c>
      <c r="F38" s="4">
        <v>10</v>
      </c>
      <c r="G38" s="4">
        <v>10</v>
      </c>
      <c r="H38" s="5">
        <f t="shared" si="1"/>
        <v>10</v>
      </c>
      <c r="I38" s="6" t="s">
        <v>14</v>
      </c>
      <c r="J38" s="3" t="s">
        <v>194</v>
      </c>
    </row>
    <row r="39" spans="1:10" ht="118.8" x14ac:dyDescent="0.3">
      <c r="A39" s="3" t="s">
        <v>195</v>
      </c>
      <c r="B39" s="3" t="s">
        <v>196</v>
      </c>
      <c r="C39" s="3" t="s">
        <v>197</v>
      </c>
      <c r="D39" s="3" t="s">
        <v>198</v>
      </c>
      <c r="E39" s="4">
        <v>10</v>
      </c>
      <c r="F39" s="4">
        <v>10</v>
      </c>
      <c r="G39" s="4">
        <v>10</v>
      </c>
      <c r="H39" s="5">
        <f t="shared" si="1"/>
        <v>10</v>
      </c>
      <c r="I39" s="6" t="s">
        <v>14</v>
      </c>
      <c r="J39" s="3" t="s">
        <v>199</v>
      </c>
    </row>
    <row r="40" spans="1:10" ht="52.8" x14ac:dyDescent="0.3">
      <c r="A40" s="3" t="s">
        <v>200</v>
      </c>
      <c r="B40" s="3" t="s">
        <v>201</v>
      </c>
      <c r="C40" s="3" t="s">
        <v>202</v>
      </c>
      <c r="D40" s="3" t="s">
        <v>203</v>
      </c>
      <c r="E40" s="4">
        <v>10</v>
      </c>
      <c r="F40" s="4">
        <v>7</v>
      </c>
      <c r="G40" s="4">
        <v>10</v>
      </c>
      <c r="H40" s="5">
        <f t="shared" si="1"/>
        <v>9</v>
      </c>
      <c r="I40" s="7" t="s">
        <v>70</v>
      </c>
      <c r="J40" s="3" t="s">
        <v>204</v>
      </c>
    </row>
    <row r="41" spans="1:10" ht="52.8" x14ac:dyDescent="0.3">
      <c r="A41" s="3" t="s">
        <v>205</v>
      </c>
      <c r="B41" s="3" t="s">
        <v>206</v>
      </c>
      <c r="C41" s="3" t="s">
        <v>207</v>
      </c>
      <c r="D41" s="3" t="s">
        <v>208</v>
      </c>
      <c r="E41" s="4">
        <v>10</v>
      </c>
      <c r="F41" s="4">
        <v>10</v>
      </c>
      <c r="G41" s="4">
        <v>10</v>
      </c>
      <c r="H41" s="5">
        <f t="shared" si="1"/>
        <v>10</v>
      </c>
      <c r="I41" s="6" t="s">
        <v>14</v>
      </c>
      <c r="J41" s="3" t="s">
        <v>209</v>
      </c>
    </row>
    <row r="42" spans="1:10" ht="52.8" x14ac:dyDescent="0.3">
      <c r="A42" s="3" t="s">
        <v>210</v>
      </c>
      <c r="B42" s="3" t="s">
        <v>211</v>
      </c>
      <c r="C42" s="3" t="s">
        <v>212</v>
      </c>
      <c r="D42" s="3" t="s">
        <v>213</v>
      </c>
      <c r="E42" s="4">
        <v>10</v>
      </c>
      <c r="F42" s="4">
        <v>6</v>
      </c>
      <c r="G42" s="4">
        <v>10</v>
      </c>
      <c r="H42" s="5">
        <f t="shared" si="1"/>
        <v>8.6666666666666661</v>
      </c>
      <c r="I42" s="7" t="s">
        <v>70</v>
      </c>
      <c r="J42" s="3" t="s">
        <v>214</v>
      </c>
    </row>
    <row r="43" spans="1:10" ht="118.8" x14ac:dyDescent="0.3">
      <c r="A43" s="3" t="s">
        <v>215</v>
      </c>
      <c r="B43" s="3" t="s">
        <v>216</v>
      </c>
      <c r="C43" s="3" t="s">
        <v>217</v>
      </c>
      <c r="D43" s="3" t="s">
        <v>218</v>
      </c>
      <c r="E43" s="4">
        <v>10</v>
      </c>
      <c r="F43" s="4">
        <v>10</v>
      </c>
      <c r="G43" s="4">
        <v>10</v>
      </c>
      <c r="H43" s="5">
        <f t="shared" si="1"/>
        <v>10</v>
      </c>
      <c r="I43" s="6" t="s">
        <v>14</v>
      </c>
      <c r="J43" s="3" t="s">
        <v>219</v>
      </c>
    </row>
    <row r="44" spans="1:10" ht="52.8" x14ac:dyDescent="0.3">
      <c r="A44" s="3" t="s">
        <v>220</v>
      </c>
      <c r="B44" s="3" t="s">
        <v>221</v>
      </c>
      <c r="C44" s="3" t="s">
        <v>222</v>
      </c>
      <c r="D44" s="3" t="s">
        <v>223</v>
      </c>
      <c r="E44" s="4">
        <v>10</v>
      </c>
      <c r="F44" s="4">
        <v>10</v>
      </c>
      <c r="G44" s="4">
        <v>10</v>
      </c>
      <c r="H44" s="5">
        <f t="shared" si="1"/>
        <v>10</v>
      </c>
      <c r="I44" s="6" t="s">
        <v>14</v>
      </c>
      <c r="J44" s="3" t="s">
        <v>224</v>
      </c>
    </row>
    <row r="45" spans="1:10" ht="79.2" x14ac:dyDescent="0.3">
      <c r="A45" s="3" t="s">
        <v>225</v>
      </c>
      <c r="B45" s="3" t="s">
        <v>226</v>
      </c>
      <c r="C45" s="3" t="s">
        <v>227</v>
      </c>
      <c r="D45" s="3" t="s">
        <v>228</v>
      </c>
      <c r="E45" s="4">
        <v>10</v>
      </c>
      <c r="F45" s="4">
        <v>10</v>
      </c>
      <c r="G45" s="4">
        <v>10</v>
      </c>
      <c r="H45" s="5">
        <f t="shared" si="1"/>
        <v>10</v>
      </c>
      <c r="I45" s="6" t="s">
        <v>14</v>
      </c>
      <c r="J45" s="3" t="s">
        <v>91</v>
      </c>
    </row>
    <row r="46" spans="1:10" ht="184.8" x14ac:dyDescent="0.3">
      <c r="A46" s="3" t="s">
        <v>229</v>
      </c>
      <c r="B46" s="3" t="s">
        <v>230</v>
      </c>
      <c r="C46" s="3" t="s">
        <v>231</v>
      </c>
      <c r="D46" s="3" t="s">
        <v>232</v>
      </c>
      <c r="E46" s="4">
        <v>10</v>
      </c>
      <c r="F46" s="4">
        <v>10</v>
      </c>
      <c r="G46" s="4">
        <v>10</v>
      </c>
      <c r="H46" s="5">
        <f t="shared" si="1"/>
        <v>10</v>
      </c>
      <c r="I46" s="6" t="s">
        <v>14</v>
      </c>
      <c r="J46" s="3" t="s">
        <v>233</v>
      </c>
    </row>
    <row r="47" spans="1:10" ht="52.8" x14ac:dyDescent="0.3">
      <c r="A47" s="3" t="s">
        <v>234</v>
      </c>
      <c r="B47" s="3" t="s">
        <v>235</v>
      </c>
      <c r="C47" s="3" t="s">
        <v>236</v>
      </c>
      <c r="D47" s="3" t="s">
        <v>237</v>
      </c>
      <c r="E47" s="4">
        <v>10</v>
      </c>
      <c r="F47" s="4">
        <v>10</v>
      </c>
      <c r="G47" s="4">
        <v>8</v>
      </c>
      <c r="H47" s="5">
        <f t="shared" si="1"/>
        <v>9.3333333333333339</v>
      </c>
      <c r="I47" s="6" t="s">
        <v>14</v>
      </c>
      <c r="J47" s="3" t="s">
        <v>238</v>
      </c>
    </row>
    <row r="48" spans="1:10" ht="66" x14ac:dyDescent="0.3">
      <c r="A48" s="3" t="s">
        <v>239</v>
      </c>
      <c r="B48" s="3" t="s">
        <v>240</v>
      </c>
      <c r="C48" s="3" t="s">
        <v>241</v>
      </c>
      <c r="D48" s="3" t="s">
        <v>242</v>
      </c>
      <c r="E48" s="4">
        <v>10</v>
      </c>
      <c r="F48" s="4">
        <v>10</v>
      </c>
      <c r="G48" s="4">
        <v>10</v>
      </c>
      <c r="H48" s="5">
        <f t="shared" si="1"/>
        <v>10</v>
      </c>
      <c r="I48" s="6" t="s">
        <v>14</v>
      </c>
      <c r="J48" s="3" t="s">
        <v>243</v>
      </c>
    </row>
    <row r="49" spans="1:10" ht="52.8" x14ac:dyDescent="0.3">
      <c r="A49" s="3" t="s">
        <v>244</v>
      </c>
      <c r="B49" s="3" t="s">
        <v>245</v>
      </c>
      <c r="C49" s="3" t="s">
        <v>246</v>
      </c>
      <c r="D49" s="3" t="s">
        <v>247</v>
      </c>
      <c r="E49" s="4">
        <v>10</v>
      </c>
      <c r="F49" s="4">
        <v>10</v>
      </c>
      <c r="G49" s="4">
        <v>10</v>
      </c>
      <c r="H49" s="5">
        <f t="shared" si="1"/>
        <v>10</v>
      </c>
      <c r="I49" s="6" t="s">
        <v>14</v>
      </c>
      <c r="J49" s="3" t="s">
        <v>248</v>
      </c>
    </row>
    <row r="50" spans="1:10" ht="52.8" x14ac:dyDescent="0.3">
      <c r="A50" s="3" t="s">
        <v>249</v>
      </c>
      <c r="B50" s="3" t="s">
        <v>250</v>
      </c>
      <c r="C50" s="3" t="s">
        <v>251</v>
      </c>
      <c r="D50" s="3" t="s">
        <v>252</v>
      </c>
      <c r="E50" s="4">
        <v>10</v>
      </c>
      <c r="F50" s="4">
        <v>10</v>
      </c>
      <c r="G50" s="4">
        <v>10</v>
      </c>
      <c r="H50" s="5">
        <f t="shared" si="1"/>
        <v>10</v>
      </c>
      <c r="I50" s="6" t="s">
        <v>14</v>
      </c>
      <c r="J50" s="3" t="s">
        <v>81</v>
      </c>
    </row>
    <row r="51" spans="1:10" ht="118.8" x14ac:dyDescent="0.3">
      <c r="A51" s="3" t="s">
        <v>253</v>
      </c>
      <c r="B51" s="3" t="s">
        <v>254</v>
      </c>
      <c r="C51" s="3" t="s">
        <v>255</v>
      </c>
      <c r="D51" s="3" t="s">
        <v>256</v>
      </c>
      <c r="E51" s="4">
        <v>10</v>
      </c>
      <c r="F51" s="4">
        <v>10</v>
      </c>
      <c r="G51" s="4">
        <v>10</v>
      </c>
      <c r="H51" s="5">
        <f t="shared" si="1"/>
        <v>10</v>
      </c>
      <c r="I51" s="6" t="s">
        <v>14</v>
      </c>
      <c r="J51" s="3" t="s">
        <v>257</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I25"/>
  <sheetViews>
    <sheetView showGridLines="0" tabSelected="1" zoomScaleNormal="100" workbookViewId="0">
      <selection activeCell="B16" sqref="B16"/>
    </sheetView>
  </sheetViews>
  <sheetFormatPr defaultColWidth="8.6640625" defaultRowHeight="14.4" x14ac:dyDescent="0.3"/>
  <cols>
    <col min="1" max="1" width="2" customWidth="1"/>
    <col min="2" max="2" width="54.109375" customWidth="1"/>
    <col min="3" max="3" width="26.6640625" customWidth="1"/>
    <col min="4" max="4" width="23.109375" customWidth="1"/>
    <col min="5" max="5" width="24.77734375" customWidth="1"/>
    <col min="6" max="6" width="20.21875" customWidth="1"/>
    <col min="7" max="7" width="14" customWidth="1"/>
    <col min="8" max="8" width="23.77734375" customWidth="1"/>
    <col min="9" max="9" width="16" customWidth="1"/>
  </cols>
  <sheetData>
    <row r="2" spans="2:8" ht="17.399999999999999" x14ac:dyDescent="0.3">
      <c r="B2" s="9" t="s">
        <v>258</v>
      </c>
    </row>
    <row r="3" spans="2:8" x14ac:dyDescent="0.3">
      <c r="B3" s="10" t="s">
        <v>259</v>
      </c>
    </row>
    <row r="5" spans="2:8" x14ac:dyDescent="0.3">
      <c r="B5" s="11" t="s">
        <v>260</v>
      </c>
      <c r="D5" s="11" t="s">
        <v>261</v>
      </c>
      <c r="F5" s="11" t="s">
        <v>262</v>
      </c>
      <c r="H5" s="11" t="s">
        <v>263</v>
      </c>
    </row>
    <row r="6" spans="2:8" ht="25.5" customHeight="1" x14ac:dyDescent="0.4">
      <c r="B6" s="12">
        <f>AVERAGE('Judge Results'!E2:E51)</f>
        <v>9.6</v>
      </c>
      <c r="D6" s="12">
        <f>AVERAGE('Judge Results'!F2:F51)</f>
        <v>9.3800000000000008</v>
      </c>
      <c r="F6" s="12">
        <f>AVERAGE('Judge Results'!G2:G51)</f>
        <v>9.92</v>
      </c>
      <c r="H6" s="12">
        <f>AVERAGE(B6,D6,F6)</f>
        <v>9.6333333333333329</v>
      </c>
    </row>
    <row r="8" spans="2:8" x14ac:dyDescent="0.3">
      <c r="B8" s="11" t="s">
        <v>264</v>
      </c>
    </row>
    <row r="9" spans="2:8" x14ac:dyDescent="0.3">
      <c r="B9" s="13" t="s">
        <v>14</v>
      </c>
      <c r="C9" s="14">
        <f>COUNTIF('Judge Results'!I2:I51,"Fully Correct")</f>
        <v>45</v>
      </c>
    </row>
    <row r="10" spans="2:8" x14ac:dyDescent="0.3">
      <c r="B10" s="13" t="s">
        <v>265</v>
      </c>
      <c r="C10" s="14">
        <f>COUNTIF('Judge Results'!I2:I51,"Partially Correct")</f>
        <v>3</v>
      </c>
    </row>
    <row r="11" spans="2:8" x14ac:dyDescent="0.3">
      <c r="B11" s="13" t="s">
        <v>266</v>
      </c>
      <c r="C11" s="14">
        <f>COUNTIF('Judge Results'!I2:I51,"No Answer")</f>
        <v>2</v>
      </c>
    </row>
    <row r="12" spans="2:8" x14ac:dyDescent="0.3">
      <c r="B12" s="11" t="s">
        <v>267</v>
      </c>
      <c r="C12" s="15">
        <f>SUM(C9:C11)</f>
        <v>50</v>
      </c>
    </row>
    <row r="14" spans="2:8" x14ac:dyDescent="0.3">
      <c r="B14" s="11" t="s">
        <v>268</v>
      </c>
    </row>
    <row r="15" spans="2:8" x14ac:dyDescent="0.3">
      <c r="B15" s="13" t="s">
        <v>269</v>
      </c>
      <c r="C15" s="16">
        <f>C9/C12</f>
        <v>0.9</v>
      </c>
    </row>
    <row r="16" spans="2:8" x14ac:dyDescent="0.3">
      <c r="B16" s="13" t="s">
        <v>270</v>
      </c>
      <c r="C16" s="16">
        <f>(C9+0.5*C10)/C12</f>
        <v>0.93</v>
      </c>
    </row>
    <row r="18" spans="2:9" x14ac:dyDescent="0.3">
      <c r="B18" s="11" t="s">
        <v>271</v>
      </c>
    </row>
    <row r="19" spans="2:9" ht="15" customHeight="1" x14ac:dyDescent="0.3">
      <c r="B19" s="1" t="s">
        <v>272</v>
      </c>
      <c r="C19" s="1"/>
      <c r="D19" s="1"/>
      <c r="E19" s="1"/>
      <c r="F19" s="1"/>
      <c r="G19" s="1"/>
      <c r="H19" s="1"/>
      <c r="I19" s="1"/>
    </row>
    <row r="20" spans="2:9" x14ac:dyDescent="0.3">
      <c r="B20" s="1"/>
      <c r="C20" s="1"/>
      <c r="D20" s="1"/>
      <c r="E20" s="1"/>
      <c r="F20" s="1"/>
      <c r="G20" s="1"/>
      <c r="H20" s="1"/>
      <c r="I20" s="1"/>
    </row>
    <row r="21" spans="2:9" x14ac:dyDescent="0.3">
      <c r="B21" s="1"/>
      <c r="C21" s="1"/>
      <c r="D21" s="1"/>
      <c r="E21" s="1"/>
      <c r="F21" s="1"/>
      <c r="G21" s="1"/>
      <c r="H21" s="1"/>
      <c r="I21" s="1"/>
    </row>
    <row r="22" spans="2:9" x14ac:dyDescent="0.3">
      <c r="B22" s="1"/>
      <c r="C22" s="1"/>
      <c r="D22" s="1"/>
      <c r="E22" s="1"/>
      <c r="F22" s="1"/>
      <c r="G22" s="1"/>
      <c r="H22" s="1"/>
      <c r="I22" s="1"/>
    </row>
    <row r="23" spans="2:9" x14ac:dyDescent="0.3">
      <c r="B23" s="1"/>
      <c r="C23" s="1"/>
      <c r="D23" s="1"/>
      <c r="E23" s="1"/>
      <c r="F23" s="1"/>
      <c r="G23" s="1"/>
      <c r="H23" s="1"/>
      <c r="I23" s="1"/>
    </row>
    <row r="24" spans="2:9" x14ac:dyDescent="0.3">
      <c r="B24" s="1"/>
      <c r="C24" s="1"/>
      <c r="D24" s="1"/>
      <c r="E24" s="1"/>
      <c r="F24" s="1"/>
      <c r="G24" s="1"/>
      <c r="H24" s="1"/>
      <c r="I24" s="1"/>
    </row>
    <row r="25" spans="2:9" x14ac:dyDescent="0.3">
      <c r="B25" s="1"/>
      <c r="C25" s="1"/>
      <c r="D25" s="1"/>
      <c r="E25" s="1"/>
      <c r="F25" s="1"/>
      <c r="G25" s="1"/>
      <c r="H25" s="1"/>
      <c r="I25" s="1"/>
    </row>
  </sheetData>
  <mergeCells count="1">
    <mergeCell ref="B19:I25"/>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Judge Results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Tanishk Agarwal</cp:lastModifiedBy>
  <cp:revision>0</cp:revision>
  <dcterms:created xsi:type="dcterms:W3CDTF">2026-08-01T22:01:47Z</dcterms:created>
  <dcterms:modified xsi:type="dcterms:W3CDTF">2026-08-01T22:12:30Z</dcterms:modified>
  <dc:language>en-US</dc:language>
</cp:coreProperties>
</file>